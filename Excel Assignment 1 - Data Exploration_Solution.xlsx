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gma\Desktop\Assignments\"/>
    </mc:Choice>
  </mc:AlternateContent>
  <xr:revisionPtr revIDLastSave="0" documentId="13_ncr:1_{EEF1AD0D-09B3-4AEF-97F7-242FC0672540}" xr6:coauthVersionLast="47" xr6:coauthVersionMax="47" xr10:uidLastSave="{00000000-0000-0000-0000-000000000000}"/>
  <bookViews>
    <workbookView xWindow="-108" yWindow="-108" windowWidth="23256" windowHeight="12456" xr2:uid="{58AB15F8-E152-4251-971B-CC9B68752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2" i="1"/>
  <c r="K2" i="1"/>
  <c r="J2" i="1"/>
  <c r="I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<sst xmlns="http://schemas.openxmlformats.org/spreadsheetml/2006/main" count="153" uniqueCount="104">
  <si>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</si>
  <si>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</si>
  <si>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</si>
  <si>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</si>
  <si>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</si>
  <si>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</si>
  <si>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</si>
  <si>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</si>
  <si>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</si>
  <si>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</si>
  <si>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</si>
  <si>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</si>
  <si>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</si>
  <si>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</si>
  <si>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</si>
  <si>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</si>
  <si>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</si>
  <si>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</si>
  <si>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</si>
  <si>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</si>
  <si>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</si>
  <si>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</si>
  <si>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</si>
  <si>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</si>
  <si>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</si>
  <si>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</si>
  <si>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</si>
  <si>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</si>
  <si>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</si>
  <si>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</si>
  <si>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</si>
  <si>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</si>
  <si>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</si>
  <si>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</si>
  <si>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</si>
  <si>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</si>
  <si>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</si>
  <si>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</si>
  <si>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</si>
  <si>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</si>
  <si>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</si>
  <si>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</si>
  <si>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</si>
  <si>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</si>
  <si>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</si>
  <si>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</si>
  <si>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</si>
  <si>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</si>
  <si>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</si>
  <si>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</si>
  <si>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</si>
  <si>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</si>
  <si>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</si>
  <si>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</si>
  <si>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</si>
  <si>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</si>
  <si>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</si>
  <si>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</si>
  <si>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</si>
  <si>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</si>
  <si>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</si>
  <si>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</si>
  <si>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</si>
  <si>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</si>
  <si>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</si>
  <si>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</si>
  <si>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</si>
  <si>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</si>
  <si>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</si>
  <si>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</si>
  <si>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</si>
  <si>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</si>
  <si>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</si>
  <si>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</si>
  <si>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</si>
  <si>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</si>
  <si>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</si>
  <si>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</si>
  <si>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</si>
  <si>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</si>
  <si>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</si>
  <si>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</si>
  <si>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</si>
  <si>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</si>
  <si>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</si>
  <si>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</si>
  <si>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</si>
  <si>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</si>
  <si>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</si>
  <si>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</si>
  <si>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</si>
  <si>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</si>
  <si>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</si>
  <si>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</si>
  <si>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Product count</t>
  </si>
  <si>
    <t>Avg. Price</t>
  </si>
  <si>
    <t>Min. Price</t>
  </si>
  <si>
    <t>Max. Price</t>
  </si>
  <si>
    <t>Price Range</t>
  </si>
  <si>
    <t>Elect. Total Price</t>
  </si>
  <si>
    <t>Less Price</t>
  </si>
  <si>
    <t>Country Code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</si>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</sst>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</font>
    <font>
      <b/>
      <sz val="10"/>
      <color theme="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rgb="FFFFFF00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19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fill>
        <patternFill patternType="solid">
          <fgColor rgb="FF4DD0E1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DA9BFF-A152-4FC7-891A-94EF6C5ABF6C}" name="Table1" displayName="Table1" ref="A1:Q35" totalsRowShown="0" headerRowDxfId="18" dataDxfId="17">
  <autoFilter ref="A1:Q35" xr:uid="{BCDA9BFF-A152-4FC7-891A-94EF6C5ABF6C}"/>
  <tableColumns count="17">
    <tableColumn id="1" xr3:uid="{1FC7FC2D-49C3-46D0-81A7-159035DE253A}" name="Product ID" dataDxfId="16"/>
    <tableColumn id="2" xr3:uid="{F10CA000-9A94-4449-A0F6-4974A820C62F}" name="Product Name" dataDxfId="15"/>
    <tableColumn id="3" xr3:uid="{B4D24110-61B6-4F9E-95D3-881D8DB55AEF}" name="Brand Name" dataDxfId="14"/>
    <tableColumn id="4" xr3:uid="{AAC33FDD-EA25-422C-91DC-F5B2686C838A}" name="Price ($)" dataDxfId="13"/>
    <tableColumn id="5" xr3:uid="{E3BF707B-93C2-4E9C-8D03-F0645EA46C57}" name="Quantity" dataDxfId="12"/>
    <tableColumn id="6" xr3:uid="{56D53756-F17B-4097-AC33-1CF95F758012}" name="Category" dataDxfId="11"/>
    <tableColumn id="7" xr3:uid="{9DA9BC86-D3BA-40CB-8868-80DD5C2A62F9}" name="Total Price" dataDxfId="10">
      <calculatedColumnFormula>D2*E2</calculatedColumnFormula>
    </tableColumn>
    <tableColumn id="8" xr3:uid="{BAF3B10A-6E89-48D7-B1F1-1022665BC65A}" name="Product count" dataDxfId="9"/>
    <tableColumn id="9" xr3:uid="{3E854537-BB4B-47ED-89FB-36D2F49A6F61}" name="Avg. Price" dataDxfId="8"/>
    <tableColumn id="10" xr3:uid="{CC40948D-6154-42AF-9DE7-D4EECD46D44B}" name="Min. Price" dataDxfId="7"/>
    <tableColumn id="11" xr3:uid="{DDA894F8-8E0D-4A57-8893-8CE6FB269258}" name="Max. Price" dataDxfId="6"/>
    <tableColumn id="12" xr3:uid="{EDA5FECB-79E8-4602-83EF-CF37E68161F6}" name="Price Range" dataDxfId="5">
      <calculatedColumnFormula>IF(D2&gt;=500, "High Price", "Standard Price")</calculatedColumnFormula>
    </tableColumn>
    <tableColumn id="13" xr3:uid="{9FE138F3-B094-42A7-9E72-60E0C9402F2A}" name="Elect. Total Price" dataDxfId="4"/>
    <tableColumn id="14" xr3:uid="{C14BC4EB-C7AE-423E-A2CF-3917D2727078}" name="Less Price" dataDxfId="3"/>
    <tableColumn id="15" xr3:uid="{1C225391-4206-4F83-9ADA-930A01FBCD21}" name="Day" dataDxfId="2">
      <calculatedColumnFormula>LEFT(A2, 2)</calculatedColumnFormula>
    </tableColumn>
    <tableColumn id="16" xr3:uid="{98A3419F-E1A4-4E6D-A1A1-1005D885B160}" name="Country Code" dataDxfId="1">
      <calculatedColumnFormula>RIGHT(A2, 2)</calculatedColumnFormula>
    </tableColumn>
    <tableColumn id="17" xr3:uid="{41177381-9381-4FDE-938C-737FC83E7D83}" name="Month" dataDxfId="0">
      <calculatedColumnFormula>MID(A2, 4, 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4F2B-9844-4169-B0A2-1EDBD00E77AD}">
  <dimension ref="A1:Q35"/>
  <sheetViews>
    <sheetView tabSelected="1" workbookViewId="0">
      <selection activeCell="I9" sqref="I9"/>
    </sheetView>
  </sheetViews>
  <sheetFormatPr defaultRowHeight="14.4" x14ac:dyDescent="0.3"/>
  <cols>
    <col min="1" max="1" width="12.21875" customWidth="1"/>
    <col min="2" max="2" width="13.5546875" customWidth="1"/>
    <col min="3" max="3" width="10.88671875" customWidth="1"/>
    <col min="4" max="4" width="10.21875" customWidth="1"/>
    <col min="5" max="5" width="10.33203125" customWidth="1"/>
    <col min="6" max="6" width="11" bestFit="1" customWidth="1"/>
    <col min="7" max="7" width="9.88671875" customWidth="1"/>
    <col min="8" max="8" width="13.88671875" customWidth="1"/>
    <col min="9" max="9" width="10.88671875" customWidth="1"/>
    <col min="10" max="10" width="11.44140625" customWidth="1"/>
    <col min="11" max="11" width="9.6640625" customWidth="1"/>
    <col min="12" max="12" width="13.44140625" customWidth="1"/>
    <col min="13" max="13" width="16" customWidth="1"/>
    <col min="14" max="14" width="9.33203125" customWidth="1"/>
    <col min="15" max="15" width="6.5546875" customWidth="1"/>
    <col min="16" max="16" width="13.6640625" customWidth="1"/>
    <col min="17" max="17" width="7.88671875" customWidth="1"/>
  </cols>
  <sheetData>
    <row r="1" spans="1:1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93</v>
      </c>
      <c r="H1" s="4" t="s">
        <v>94</v>
      </c>
      <c r="I1" s="4" t="s">
        <v>95</v>
      </c>
      <c r="J1" s="4" t="s">
        <v>96</v>
      </c>
      <c r="K1" s="4" t="s">
        <v>97</v>
      </c>
      <c r="L1" s="4" t="s">
        <v>98</v>
      </c>
      <c r="M1" s="4" t="s">
        <v>99</v>
      </c>
      <c r="N1" s="4" t="s">
        <v>100</v>
      </c>
      <c r="O1" s="4" t="s">
        <v>103</v>
      </c>
      <c r="P1" s="4" t="s">
        <v>101</v>
      </c>
      <c r="Q1" s="4" t="s">
        <v>102</v>
      </c>
    </row>
    <row r="2" spans="1:17" x14ac:dyDescent="0.3">
      <c r="A2" s="1" t="s">
        <v>6</v>
      </c>
      <c r="B2" s="1" t="s">
        <v>7</v>
      </c>
      <c r="C2" s="1" t="s">
        <v>8</v>
      </c>
      <c r="D2" s="1">
        <v>1000</v>
      </c>
      <c r="E2" s="1">
        <v>30</v>
      </c>
      <c r="F2" s="1" t="s">
        <v>9</v>
      </c>
      <c r="G2" s="2">
        <f>D2*E2</f>
        <v>30000</v>
      </c>
      <c r="H2" s="2">
        <f>COUNTA(C2:C35)</f>
        <v>34</v>
      </c>
      <c r="I2" s="2">
        <f>AVERAGE(G2:G35)</f>
        <v>8520.5882352941171</v>
      </c>
      <c r="J2" s="2">
        <f>MIN(D2:D35)</f>
        <v>30</v>
      </c>
      <c r="K2" s="2">
        <f>MAX(D2:D35)</f>
        <v>1000</v>
      </c>
      <c r="L2" s="2" t="str">
        <f>IF(D2&gt;=500, "High Price", "Standard Price")</f>
        <v>High Price</v>
      </c>
      <c r="M2" s="2">
        <f>SUMIF(F2:F35, "Electronics", D2:D35)</f>
        <v>8050</v>
      </c>
      <c r="N2" s="2">
        <f>COUNTIF(D2:D35, "&lt;100")</f>
        <v>11</v>
      </c>
      <c r="O2" s="2" t="str">
        <f>LEFT(A2, 2)</f>
        <v>28</v>
      </c>
      <c r="P2" s="2" t="str">
        <f>RIGHT(A2, 2)</f>
        <v>US</v>
      </c>
      <c r="Q2" s="2" t="str">
        <f>MID(A2, 4, 3)</f>
        <v>JAN</v>
      </c>
    </row>
    <row r="3" spans="1:17" x14ac:dyDescent="0.3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2">
        <f t="shared" ref="G3:G35" si="0">D3*E3</f>
        <v>1200</v>
      </c>
      <c r="H3" s="2"/>
      <c r="I3" s="2"/>
      <c r="J3" s="2"/>
      <c r="K3" s="2"/>
      <c r="L3" s="2" t="str">
        <f t="shared" ref="L3:L35" si="1">IF(D3&gt;=500, "High Price", "Standard Price")</f>
        <v>Standard Price</v>
      </c>
      <c r="M3" s="2"/>
      <c r="N3" s="2"/>
      <c r="O3" s="2" t="str">
        <f t="shared" ref="O3:O35" si="2">LEFT(A3, 2)</f>
        <v>15</v>
      </c>
      <c r="P3" s="2" t="str">
        <f t="shared" ref="P3:P35" si="3">RIGHT(A3, 2)</f>
        <v>US</v>
      </c>
      <c r="Q3" s="2" t="str">
        <f t="shared" ref="Q3:Q35" si="4">MID(A3, 4, 3)</f>
        <v>FEB</v>
      </c>
    </row>
    <row r="4" spans="1:17" x14ac:dyDescent="0.3">
      <c r="A4" s="1" t="s">
        <v>14</v>
      </c>
      <c r="B4" s="1" t="s">
        <v>15</v>
      </c>
      <c r="C4" s="1" t="s">
        <v>16</v>
      </c>
      <c r="D4" s="1">
        <v>130</v>
      </c>
      <c r="E4" s="1">
        <v>40</v>
      </c>
      <c r="F4" s="1" t="s">
        <v>17</v>
      </c>
      <c r="G4" s="2">
        <f t="shared" si="0"/>
        <v>5200</v>
      </c>
      <c r="H4" s="2"/>
      <c r="I4" s="2"/>
      <c r="J4" s="2"/>
      <c r="K4" s="2"/>
      <c r="L4" s="2" t="str">
        <f t="shared" si="1"/>
        <v>Standard Price</v>
      </c>
      <c r="M4" s="2"/>
      <c r="N4" s="2"/>
      <c r="O4" s="2" t="str">
        <f t="shared" si="2"/>
        <v>03</v>
      </c>
      <c r="P4" s="2" t="str">
        <f t="shared" si="3"/>
        <v>US</v>
      </c>
      <c r="Q4" s="2" t="str">
        <f t="shared" si="4"/>
        <v>MAR</v>
      </c>
    </row>
    <row r="5" spans="1:17" x14ac:dyDescent="0.3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2">
        <f t="shared" si="0"/>
        <v>22500</v>
      </c>
      <c r="H5" s="2"/>
      <c r="I5" s="2"/>
      <c r="J5" s="2"/>
      <c r="K5" s="2"/>
      <c r="L5" s="2" t="str">
        <f t="shared" si="1"/>
        <v>High Price</v>
      </c>
      <c r="M5" s="2"/>
      <c r="N5" s="2"/>
      <c r="O5" s="2" t="str">
        <f t="shared" si="2"/>
        <v>11</v>
      </c>
      <c r="P5" s="2" t="str">
        <f t="shared" si="3"/>
        <v>US</v>
      </c>
      <c r="Q5" s="2" t="str">
        <f t="shared" si="4"/>
        <v>APR</v>
      </c>
    </row>
    <row r="6" spans="1:17" x14ac:dyDescent="0.3">
      <c r="A6" s="1" t="s">
        <v>21</v>
      </c>
      <c r="B6" s="1" t="s">
        <v>22</v>
      </c>
      <c r="C6" s="1" t="s">
        <v>23</v>
      </c>
      <c r="D6" s="1">
        <v>70</v>
      </c>
      <c r="E6" s="1">
        <v>20</v>
      </c>
      <c r="F6" s="1" t="s">
        <v>24</v>
      </c>
      <c r="G6" s="2">
        <f t="shared" si="0"/>
        <v>1400</v>
      </c>
      <c r="H6" s="2"/>
      <c r="I6" s="2"/>
      <c r="J6" s="2"/>
      <c r="K6" s="2"/>
      <c r="L6" s="2" t="str">
        <f t="shared" si="1"/>
        <v>Standard Price</v>
      </c>
      <c r="M6" s="2"/>
      <c r="N6" s="2"/>
      <c r="O6" s="2" t="str">
        <f t="shared" si="2"/>
        <v>22</v>
      </c>
      <c r="P6" s="2" t="str">
        <f t="shared" si="3"/>
        <v>US</v>
      </c>
      <c r="Q6" s="2" t="str">
        <f t="shared" si="4"/>
        <v>MAY</v>
      </c>
    </row>
    <row r="7" spans="1:17" x14ac:dyDescent="0.3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2">
        <f t="shared" si="0"/>
        <v>9000</v>
      </c>
      <c r="H7" s="2"/>
      <c r="I7" s="2"/>
      <c r="J7" s="2"/>
      <c r="K7" s="2"/>
      <c r="L7" s="2" t="str">
        <f t="shared" si="1"/>
        <v>Standard Price</v>
      </c>
      <c r="M7" s="2"/>
      <c r="N7" s="2"/>
      <c r="O7" s="2" t="str">
        <f t="shared" si="2"/>
        <v>07</v>
      </c>
      <c r="P7" s="2" t="str">
        <f t="shared" si="3"/>
        <v>UK</v>
      </c>
      <c r="Q7" s="2" t="str">
        <f t="shared" si="4"/>
        <v>JUN</v>
      </c>
    </row>
    <row r="8" spans="1:17" x14ac:dyDescent="0.3">
      <c r="A8" s="1" t="s">
        <v>28</v>
      </c>
      <c r="B8" s="1" t="s">
        <v>29</v>
      </c>
      <c r="C8" s="1" t="s">
        <v>30</v>
      </c>
      <c r="D8" s="1">
        <v>30</v>
      </c>
      <c r="E8" s="1">
        <v>5</v>
      </c>
      <c r="F8" s="1" t="s">
        <v>13</v>
      </c>
      <c r="G8" s="2">
        <f t="shared" si="0"/>
        <v>150</v>
      </c>
      <c r="H8" s="2"/>
      <c r="I8" s="2"/>
      <c r="J8" s="2"/>
      <c r="K8" s="2"/>
      <c r="L8" s="2" t="str">
        <f t="shared" si="1"/>
        <v>Standard Price</v>
      </c>
      <c r="M8" s="2"/>
      <c r="N8" s="2"/>
      <c r="O8" s="2" t="str">
        <f t="shared" si="2"/>
        <v>19</v>
      </c>
      <c r="P8" s="2" t="str">
        <f t="shared" si="3"/>
        <v>UK</v>
      </c>
      <c r="Q8" s="2" t="str">
        <f t="shared" si="4"/>
        <v>JUL</v>
      </c>
    </row>
    <row r="9" spans="1:17" x14ac:dyDescent="0.3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2">
        <f t="shared" si="0"/>
        <v>3150</v>
      </c>
      <c r="H9" s="2"/>
      <c r="I9" s="2"/>
      <c r="J9" s="2"/>
      <c r="K9" s="2"/>
      <c r="L9" s="2" t="str">
        <f t="shared" si="1"/>
        <v>Standard Price</v>
      </c>
      <c r="M9" s="2"/>
      <c r="N9" s="2"/>
      <c r="O9" s="2" t="str">
        <f t="shared" si="2"/>
        <v>23</v>
      </c>
      <c r="P9" s="2" t="str">
        <f t="shared" si="3"/>
        <v>UK</v>
      </c>
      <c r="Q9" s="2" t="str">
        <f t="shared" si="4"/>
        <v>AUG</v>
      </c>
    </row>
    <row r="10" spans="1:17" x14ac:dyDescent="0.3">
      <c r="A10" s="1" t="s">
        <v>34</v>
      </c>
      <c r="B10" s="1" t="s">
        <v>35</v>
      </c>
      <c r="C10" s="1" t="s">
        <v>36</v>
      </c>
      <c r="D10" s="1">
        <v>500</v>
      </c>
      <c r="E10" s="1">
        <v>50</v>
      </c>
      <c r="F10" s="1" t="s">
        <v>9</v>
      </c>
      <c r="G10" s="2">
        <f t="shared" si="0"/>
        <v>25000</v>
      </c>
      <c r="H10" s="2"/>
      <c r="I10" s="2"/>
      <c r="J10" s="2"/>
      <c r="K10" s="2"/>
      <c r="L10" s="2" t="str">
        <f t="shared" si="1"/>
        <v>High Price</v>
      </c>
      <c r="M10" s="2"/>
      <c r="N10" s="2"/>
      <c r="O10" s="2" t="str">
        <f t="shared" si="2"/>
        <v>05</v>
      </c>
      <c r="P10" s="2" t="str">
        <f t="shared" si="3"/>
        <v>UK</v>
      </c>
      <c r="Q10" s="2" t="str">
        <f t="shared" si="4"/>
        <v>SEP</v>
      </c>
    </row>
    <row r="11" spans="1:17" x14ac:dyDescent="0.3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">
        <f t="shared" si="0"/>
        <v>1300</v>
      </c>
      <c r="H11" s="2"/>
      <c r="I11" s="2"/>
      <c r="J11" s="2"/>
      <c r="K11" s="2"/>
      <c r="L11" s="2" t="str">
        <f t="shared" si="1"/>
        <v>Standard Price</v>
      </c>
      <c r="M11" s="2"/>
      <c r="N11" s="2"/>
      <c r="O11" s="2" t="str">
        <f t="shared" si="2"/>
        <v>14</v>
      </c>
      <c r="P11" s="2" t="str">
        <f t="shared" si="3"/>
        <v>UK</v>
      </c>
      <c r="Q11" s="2" t="str">
        <f t="shared" si="4"/>
        <v>OCT</v>
      </c>
    </row>
    <row r="12" spans="1:17" x14ac:dyDescent="0.3">
      <c r="A12" s="1" t="s">
        <v>40</v>
      </c>
      <c r="B12" s="1" t="s">
        <v>7</v>
      </c>
      <c r="C12" s="1" t="s">
        <v>41</v>
      </c>
      <c r="D12" s="1">
        <v>950</v>
      </c>
      <c r="E12" s="1">
        <v>25</v>
      </c>
      <c r="F12" s="1" t="s">
        <v>9</v>
      </c>
      <c r="G12" s="2">
        <f t="shared" si="0"/>
        <v>23750</v>
      </c>
      <c r="H12" s="2"/>
      <c r="I12" s="2"/>
      <c r="J12" s="2"/>
      <c r="K12" s="2"/>
      <c r="L12" s="2" t="str">
        <f t="shared" si="1"/>
        <v>High Price</v>
      </c>
      <c r="M12" s="2"/>
      <c r="N12" s="2"/>
      <c r="O12" s="2" t="str">
        <f t="shared" si="2"/>
        <v>17</v>
      </c>
      <c r="P12" s="2" t="str">
        <f t="shared" si="3"/>
        <v>IN</v>
      </c>
      <c r="Q12" s="2" t="str">
        <f t="shared" si="4"/>
        <v>JUN</v>
      </c>
    </row>
    <row r="13" spans="1:17" x14ac:dyDescent="0.3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">
        <f t="shared" si="0"/>
        <v>3600</v>
      </c>
      <c r="H13" s="2"/>
      <c r="I13" s="2"/>
      <c r="J13" s="2"/>
      <c r="K13" s="2"/>
      <c r="L13" s="2" t="str">
        <f t="shared" si="1"/>
        <v>Standard Price</v>
      </c>
      <c r="M13" s="2"/>
      <c r="N13" s="2"/>
      <c r="O13" s="2" t="str">
        <f t="shared" si="2"/>
        <v>25</v>
      </c>
      <c r="P13" s="2" t="str">
        <f t="shared" si="3"/>
        <v>AU</v>
      </c>
      <c r="Q13" s="2" t="str">
        <f t="shared" si="4"/>
        <v>NOV</v>
      </c>
    </row>
    <row r="14" spans="1:17" x14ac:dyDescent="0.3">
      <c r="A14" s="1" t="s">
        <v>43</v>
      </c>
      <c r="B14" s="1" t="s">
        <v>15</v>
      </c>
      <c r="C14" s="1" t="s">
        <v>44</v>
      </c>
      <c r="D14" s="1">
        <v>120</v>
      </c>
      <c r="E14" s="1">
        <v>35</v>
      </c>
      <c r="F14" s="1" t="s">
        <v>17</v>
      </c>
      <c r="G14" s="2">
        <f t="shared" si="0"/>
        <v>4200</v>
      </c>
      <c r="H14" s="2"/>
      <c r="I14" s="2"/>
      <c r="J14" s="2"/>
      <c r="K14" s="2"/>
      <c r="L14" s="2" t="str">
        <f t="shared" si="1"/>
        <v>Standard Price</v>
      </c>
      <c r="M14" s="2"/>
      <c r="N14" s="2"/>
      <c r="O14" s="2" t="str">
        <f t="shared" si="2"/>
        <v>08</v>
      </c>
      <c r="P14" s="2" t="str">
        <f t="shared" si="3"/>
        <v>DE</v>
      </c>
      <c r="Q14" s="2" t="str">
        <f t="shared" si="4"/>
        <v>DEC</v>
      </c>
    </row>
    <row r="15" spans="1:17" x14ac:dyDescent="0.3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2">
        <f t="shared" si="0"/>
        <v>2250</v>
      </c>
      <c r="H15" s="2"/>
      <c r="I15" s="2"/>
      <c r="J15" s="2"/>
      <c r="K15" s="2"/>
      <c r="L15" s="2" t="str">
        <f t="shared" si="1"/>
        <v>Standard Price</v>
      </c>
      <c r="M15" s="2"/>
      <c r="N15" s="2"/>
      <c r="O15" s="2" t="str">
        <f t="shared" si="2"/>
        <v>18</v>
      </c>
      <c r="P15" s="2" t="str">
        <f t="shared" si="3"/>
        <v>CA</v>
      </c>
      <c r="Q15" s="2" t="str">
        <f t="shared" si="4"/>
        <v>FEB</v>
      </c>
    </row>
    <row r="16" spans="1:17" x14ac:dyDescent="0.3">
      <c r="A16" s="1" t="s">
        <v>48</v>
      </c>
      <c r="B16" s="1" t="s">
        <v>26</v>
      </c>
      <c r="C16" s="1" t="s">
        <v>49</v>
      </c>
      <c r="D16" s="1">
        <v>250</v>
      </c>
      <c r="E16" s="1">
        <v>20</v>
      </c>
      <c r="F16" s="1" t="s">
        <v>9</v>
      </c>
      <c r="G16" s="2">
        <f t="shared" si="0"/>
        <v>5000</v>
      </c>
      <c r="H16" s="2"/>
      <c r="I16" s="2"/>
      <c r="J16" s="2"/>
      <c r="K16" s="2"/>
      <c r="L16" s="2" t="str">
        <f t="shared" si="1"/>
        <v>Standard Price</v>
      </c>
      <c r="M16" s="2"/>
      <c r="N16" s="2"/>
      <c r="O16" s="2" t="str">
        <f t="shared" si="2"/>
        <v>16</v>
      </c>
      <c r="P16" s="2" t="str">
        <f t="shared" si="3"/>
        <v>ES</v>
      </c>
      <c r="Q16" s="2" t="str">
        <f t="shared" si="4"/>
        <v>APR</v>
      </c>
    </row>
    <row r="17" spans="1:17" x14ac:dyDescent="0.3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">
        <f t="shared" si="0"/>
        <v>1750</v>
      </c>
      <c r="H17" s="2"/>
      <c r="I17" s="2"/>
      <c r="J17" s="2"/>
      <c r="K17" s="2"/>
      <c r="L17" s="2" t="str">
        <f t="shared" si="1"/>
        <v>Standard Price</v>
      </c>
      <c r="M17" s="2"/>
      <c r="N17" s="2"/>
      <c r="O17" s="2" t="str">
        <f t="shared" si="2"/>
        <v>21</v>
      </c>
      <c r="P17" s="2" t="str">
        <f t="shared" si="3"/>
        <v>CA</v>
      </c>
      <c r="Q17" s="2" t="str">
        <f t="shared" si="4"/>
        <v>AUG</v>
      </c>
    </row>
    <row r="18" spans="1:17" x14ac:dyDescent="0.3">
      <c r="A18" s="1" t="s">
        <v>54</v>
      </c>
      <c r="B18" s="1" t="s">
        <v>46</v>
      </c>
      <c r="C18" s="1" t="s">
        <v>55</v>
      </c>
      <c r="D18" s="1">
        <v>160</v>
      </c>
      <c r="E18" s="1">
        <v>15</v>
      </c>
      <c r="F18" s="1" t="s">
        <v>9</v>
      </c>
      <c r="G18" s="2">
        <f t="shared" si="0"/>
        <v>2400</v>
      </c>
      <c r="H18" s="2"/>
      <c r="I18" s="2"/>
      <c r="J18" s="2"/>
      <c r="K18" s="2"/>
      <c r="L18" s="2" t="str">
        <f t="shared" si="1"/>
        <v>Standard Price</v>
      </c>
      <c r="M18" s="2"/>
      <c r="N18" s="2"/>
      <c r="O18" s="2" t="str">
        <f t="shared" si="2"/>
        <v>20</v>
      </c>
      <c r="P18" s="2" t="str">
        <f t="shared" si="3"/>
        <v>CN</v>
      </c>
      <c r="Q18" s="2" t="str">
        <f t="shared" si="4"/>
        <v>AUG</v>
      </c>
    </row>
    <row r="19" spans="1:17" x14ac:dyDescent="0.3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">
        <f t="shared" si="0"/>
        <v>9800</v>
      </c>
      <c r="H19" s="2"/>
      <c r="I19" s="2"/>
      <c r="J19" s="2"/>
      <c r="K19" s="2"/>
      <c r="L19" s="2" t="str">
        <f t="shared" si="1"/>
        <v>High Price</v>
      </c>
      <c r="M19" s="2"/>
      <c r="N19" s="2"/>
      <c r="O19" s="2" t="str">
        <f t="shared" si="2"/>
        <v>27</v>
      </c>
      <c r="P19" s="2" t="str">
        <f t="shared" si="3"/>
        <v>IT</v>
      </c>
      <c r="Q19" s="2" t="str">
        <f t="shared" si="4"/>
        <v>JAN</v>
      </c>
    </row>
    <row r="20" spans="1:17" x14ac:dyDescent="0.3">
      <c r="A20" s="1" t="s">
        <v>58</v>
      </c>
      <c r="B20" s="1" t="s">
        <v>59</v>
      </c>
      <c r="C20" s="1" t="s">
        <v>60</v>
      </c>
      <c r="D20" s="1">
        <v>150</v>
      </c>
      <c r="E20" s="1">
        <v>15</v>
      </c>
      <c r="F20" s="1" t="s">
        <v>13</v>
      </c>
      <c r="G20" s="2">
        <f t="shared" si="0"/>
        <v>2250</v>
      </c>
      <c r="H20" s="2"/>
      <c r="I20" s="2"/>
      <c r="J20" s="2"/>
      <c r="K20" s="2"/>
      <c r="L20" s="2" t="str">
        <f t="shared" si="1"/>
        <v>Standard Price</v>
      </c>
      <c r="M20" s="2"/>
      <c r="N20" s="2"/>
      <c r="O20" s="2" t="str">
        <f t="shared" si="2"/>
        <v>01</v>
      </c>
      <c r="P20" s="2" t="str">
        <f t="shared" si="3"/>
        <v>UK</v>
      </c>
      <c r="Q20" s="2" t="str">
        <f t="shared" si="4"/>
        <v>MAR</v>
      </c>
    </row>
    <row r="21" spans="1:17" x14ac:dyDescent="0.3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">
        <f t="shared" si="0"/>
        <v>2000</v>
      </c>
      <c r="H21" s="2"/>
      <c r="I21" s="2"/>
      <c r="J21" s="2"/>
      <c r="K21" s="2"/>
      <c r="L21" s="2" t="str">
        <f t="shared" si="1"/>
        <v>Standard Price</v>
      </c>
      <c r="M21" s="2"/>
      <c r="N21" s="2"/>
      <c r="O21" s="2" t="str">
        <f t="shared" si="2"/>
        <v>14</v>
      </c>
      <c r="P21" s="2" t="str">
        <f t="shared" si="3"/>
        <v>US</v>
      </c>
      <c r="Q21" s="2" t="str">
        <f t="shared" si="4"/>
        <v>AUG</v>
      </c>
    </row>
    <row r="22" spans="1:17" x14ac:dyDescent="0.3">
      <c r="A22" s="1" t="s">
        <v>64</v>
      </c>
      <c r="B22" s="1" t="s">
        <v>65</v>
      </c>
      <c r="C22" s="1" t="s">
        <v>66</v>
      </c>
      <c r="D22" s="1">
        <v>700</v>
      </c>
      <c r="E22" s="1">
        <v>50</v>
      </c>
      <c r="F22" s="1" t="s">
        <v>9</v>
      </c>
      <c r="G22" s="2">
        <f t="shared" si="0"/>
        <v>35000</v>
      </c>
      <c r="H22" s="2"/>
      <c r="I22" s="2"/>
      <c r="J22" s="2"/>
      <c r="K22" s="2"/>
      <c r="L22" s="2" t="str">
        <f t="shared" si="1"/>
        <v>High Price</v>
      </c>
      <c r="M22" s="2"/>
      <c r="N22" s="2"/>
      <c r="O22" s="2" t="str">
        <f t="shared" si="2"/>
        <v>14</v>
      </c>
      <c r="P22" s="2" t="str">
        <f t="shared" si="3"/>
        <v>RU</v>
      </c>
      <c r="Q22" s="2" t="str">
        <f t="shared" si="4"/>
        <v>MAY</v>
      </c>
    </row>
    <row r="23" spans="1:17" x14ac:dyDescent="0.3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2">
        <f t="shared" si="0"/>
        <v>1600</v>
      </c>
      <c r="H23" s="2"/>
      <c r="I23" s="2"/>
      <c r="J23" s="2"/>
      <c r="K23" s="2"/>
      <c r="L23" s="2" t="str">
        <f t="shared" si="1"/>
        <v>Standard Price</v>
      </c>
      <c r="M23" s="2"/>
      <c r="N23" s="2"/>
      <c r="O23" s="2" t="str">
        <f t="shared" si="2"/>
        <v>09</v>
      </c>
      <c r="P23" s="2" t="str">
        <f t="shared" si="3"/>
        <v>CA</v>
      </c>
      <c r="Q23" s="2" t="str">
        <f t="shared" si="4"/>
        <v>JAN</v>
      </c>
    </row>
    <row r="24" spans="1:17" x14ac:dyDescent="0.3">
      <c r="A24" s="1" t="s">
        <v>70</v>
      </c>
      <c r="B24" s="1" t="s">
        <v>71</v>
      </c>
      <c r="C24" s="1" t="s">
        <v>72</v>
      </c>
      <c r="D24" s="1">
        <v>150</v>
      </c>
      <c r="E24" s="1">
        <v>30</v>
      </c>
      <c r="F24" s="1" t="s">
        <v>9</v>
      </c>
      <c r="G24" s="2">
        <f t="shared" si="0"/>
        <v>4500</v>
      </c>
      <c r="H24" s="2"/>
      <c r="I24" s="2"/>
      <c r="J24" s="2"/>
      <c r="K24" s="2"/>
      <c r="L24" s="2" t="str">
        <f t="shared" si="1"/>
        <v>Standard Price</v>
      </c>
      <c r="M24" s="2"/>
      <c r="N24" s="2"/>
      <c r="O24" s="2" t="str">
        <f t="shared" si="2"/>
        <v>19</v>
      </c>
      <c r="P24" s="2" t="str">
        <f t="shared" si="3"/>
        <v>BR</v>
      </c>
      <c r="Q24" s="2" t="str">
        <f t="shared" si="4"/>
        <v>JUL</v>
      </c>
    </row>
    <row r="25" spans="1:17" x14ac:dyDescent="0.3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2">
        <f t="shared" si="0"/>
        <v>1750</v>
      </c>
      <c r="H25" s="2"/>
      <c r="I25" s="2"/>
      <c r="J25" s="2"/>
      <c r="K25" s="2"/>
      <c r="L25" s="2" t="str">
        <f t="shared" si="1"/>
        <v>Standard Price</v>
      </c>
      <c r="M25" s="2"/>
      <c r="N25" s="2"/>
      <c r="O25" s="2" t="str">
        <f t="shared" si="2"/>
        <v>21</v>
      </c>
      <c r="P25" s="2" t="str">
        <f t="shared" si="3"/>
        <v>CA</v>
      </c>
      <c r="Q25" s="2" t="str">
        <f t="shared" si="4"/>
        <v>AUG</v>
      </c>
    </row>
    <row r="26" spans="1:17" x14ac:dyDescent="0.3">
      <c r="A26" s="1" t="s">
        <v>73</v>
      </c>
      <c r="B26" s="1" t="s">
        <v>19</v>
      </c>
      <c r="C26" s="1" t="s">
        <v>74</v>
      </c>
      <c r="D26" s="1">
        <v>800</v>
      </c>
      <c r="E26" s="1">
        <v>45</v>
      </c>
      <c r="F26" s="1" t="s">
        <v>9</v>
      </c>
      <c r="G26" s="2">
        <f t="shared" si="0"/>
        <v>36000</v>
      </c>
      <c r="H26" s="2"/>
      <c r="I26" s="2"/>
      <c r="J26" s="2"/>
      <c r="K26" s="2"/>
      <c r="L26" s="2" t="str">
        <f t="shared" si="1"/>
        <v>High Price</v>
      </c>
      <c r="M26" s="2"/>
      <c r="N26" s="2"/>
      <c r="O26" s="2" t="str">
        <f t="shared" si="2"/>
        <v>29</v>
      </c>
      <c r="P26" s="2" t="str">
        <f t="shared" si="3"/>
        <v>CA</v>
      </c>
      <c r="Q26" s="2" t="str">
        <f t="shared" si="4"/>
        <v>SEP</v>
      </c>
    </row>
    <row r="27" spans="1:17" x14ac:dyDescent="0.3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2">
        <f t="shared" si="0"/>
        <v>3250</v>
      </c>
      <c r="H27" s="2"/>
      <c r="I27" s="2"/>
      <c r="J27" s="2"/>
      <c r="K27" s="2"/>
      <c r="L27" s="2" t="str">
        <f t="shared" si="1"/>
        <v>Standard Price</v>
      </c>
      <c r="M27" s="2"/>
      <c r="N27" s="2"/>
      <c r="O27" s="2" t="str">
        <f t="shared" si="2"/>
        <v>03</v>
      </c>
      <c r="P27" s="2" t="str">
        <f t="shared" si="3"/>
        <v>CA</v>
      </c>
      <c r="Q27" s="2" t="str">
        <f t="shared" si="4"/>
        <v>JUN</v>
      </c>
    </row>
    <row r="28" spans="1:17" x14ac:dyDescent="0.3">
      <c r="A28" s="1" t="s">
        <v>77</v>
      </c>
      <c r="B28" s="1" t="s">
        <v>32</v>
      </c>
      <c r="C28" s="1" t="s">
        <v>78</v>
      </c>
      <c r="D28" s="1">
        <v>400</v>
      </c>
      <c r="E28" s="1">
        <v>40</v>
      </c>
      <c r="F28" s="1" t="s">
        <v>17</v>
      </c>
      <c r="G28" s="2">
        <f t="shared" si="0"/>
        <v>16000</v>
      </c>
      <c r="H28" s="2"/>
      <c r="I28" s="2"/>
      <c r="J28" s="2"/>
      <c r="K28" s="2"/>
      <c r="L28" s="2" t="str">
        <f t="shared" si="1"/>
        <v>Standard Price</v>
      </c>
      <c r="M28" s="2"/>
      <c r="N28" s="2"/>
      <c r="O28" s="2" t="str">
        <f t="shared" si="2"/>
        <v>11</v>
      </c>
      <c r="P28" s="2" t="str">
        <f t="shared" si="3"/>
        <v>CA</v>
      </c>
      <c r="Q28" s="2" t="str">
        <f t="shared" si="4"/>
        <v>JUL</v>
      </c>
    </row>
    <row r="29" spans="1:17" x14ac:dyDescent="0.3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2">
        <f t="shared" si="0"/>
        <v>4600</v>
      </c>
      <c r="H29" s="2"/>
      <c r="I29" s="2"/>
      <c r="J29" s="2"/>
      <c r="K29" s="2"/>
      <c r="L29" s="2" t="str">
        <f t="shared" si="1"/>
        <v>Standard Price</v>
      </c>
      <c r="M29" s="2"/>
      <c r="N29" s="2"/>
      <c r="O29" s="2" t="str">
        <f t="shared" si="2"/>
        <v>16</v>
      </c>
      <c r="P29" s="2" t="str">
        <f t="shared" si="3"/>
        <v>ES</v>
      </c>
      <c r="Q29" s="2" t="str">
        <f t="shared" si="4"/>
        <v>APR</v>
      </c>
    </row>
    <row r="30" spans="1:17" x14ac:dyDescent="0.3">
      <c r="A30" s="1" t="s">
        <v>79</v>
      </c>
      <c r="B30" s="1" t="s">
        <v>80</v>
      </c>
      <c r="C30" s="1" t="s">
        <v>81</v>
      </c>
      <c r="D30" s="1">
        <v>60</v>
      </c>
      <c r="E30" s="1">
        <v>30</v>
      </c>
      <c r="F30" s="1" t="s">
        <v>13</v>
      </c>
      <c r="G30" s="2">
        <f t="shared" si="0"/>
        <v>1800</v>
      </c>
      <c r="H30" s="2"/>
      <c r="I30" s="2"/>
      <c r="J30" s="2"/>
      <c r="K30" s="2"/>
      <c r="L30" s="2" t="str">
        <f t="shared" si="1"/>
        <v>Standard Price</v>
      </c>
      <c r="M30" s="2"/>
      <c r="N30" s="2"/>
      <c r="O30" s="2" t="str">
        <f t="shared" si="2"/>
        <v>07</v>
      </c>
      <c r="P30" s="2" t="str">
        <f t="shared" si="3"/>
        <v>CA</v>
      </c>
      <c r="Q30" s="2" t="str">
        <f t="shared" si="4"/>
        <v>MAR</v>
      </c>
    </row>
    <row r="31" spans="1:17" x14ac:dyDescent="0.3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2">
        <f t="shared" si="0"/>
        <v>400</v>
      </c>
      <c r="H31" s="2"/>
      <c r="I31" s="2"/>
      <c r="J31" s="2"/>
      <c r="K31" s="2"/>
      <c r="L31" s="2" t="str">
        <f t="shared" si="1"/>
        <v>Standard Price</v>
      </c>
      <c r="M31" s="2"/>
      <c r="N31" s="2"/>
      <c r="O31" s="2" t="str">
        <f t="shared" si="2"/>
        <v>13</v>
      </c>
      <c r="P31" s="2" t="str">
        <f t="shared" si="3"/>
        <v>CA</v>
      </c>
      <c r="Q31" s="2" t="str">
        <f t="shared" si="4"/>
        <v>APR</v>
      </c>
    </row>
    <row r="32" spans="1:17" x14ac:dyDescent="0.3">
      <c r="A32" s="1" t="s">
        <v>85</v>
      </c>
      <c r="B32" s="1" t="s">
        <v>71</v>
      </c>
      <c r="C32" s="1" t="s">
        <v>86</v>
      </c>
      <c r="D32" s="1">
        <v>130</v>
      </c>
      <c r="E32" s="1">
        <v>5</v>
      </c>
      <c r="F32" s="1" t="s">
        <v>9</v>
      </c>
      <c r="G32" s="2">
        <f t="shared" si="0"/>
        <v>650</v>
      </c>
      <c r="H32" s="2"/>
      <c r="I32" s="2"/>
      <c r="J32" s="2"/>
      <c r="K32" s="2"/>
      <c r="L32" s="2" t="str">
        <f t="shared" si="1"/>
        <v>Standard Price</v>
      </c>
      <c r="M32" s="2"/>
      <c r="N32" s="2"/>
      <c r="O32" s="2" t="str">
        <f t="shared" si="2"/>
        <v>24</v>
      </c>
      <c r="P32" s="2" t="str">
        <f t="shared" si="3"/>
        <v>CA</v>
      </c>
      <c r="Q32" s="2" t="str">
        <f t="shared" si="4"/>
        <v>MAY</v>
      </c>
    </row>
    <row r="33" spans="1:17" x14ac:dyDescent="0.3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2">
        <f t="shared" si="0"/>
        <v>2500</v>
      </c>
      <c r="H33" s="2"/>
      <c r="I33" s="2"/>
      <c r="J33" s="2"/>
      <c r="K33" s="2"/>
      <c r="L33" s="2" t="str">
        <f t="shared" si="1"/>
        <v>Standard Price</v>
      </c>
      <c r="M33" s="2"/>
      <c r="N33" s="2"/>
      <c r="O33" s="2" t="str">
        <f t="shared" si="2"/>
        <v>02</v>
      </c>
      <c r="P33" s="2" t="str">
        <f t="shared" si="3"/>
        <v>CA</v>
      </c>
      <c r="Q33" s="2" t="str">
        <f t="shared" si="4"/>
        <v>DEC</v>
      </c>
    </row>
    <row r="34" spans="1:17" x14ac:dyDescent="0.3">
      <c r="A34" s="1" t="s">
        <v>40</v>
      </c>
      <c r="B34" s="1" t="s">
        <v>7</v>
      </c>
      <c r="C34" s="1" t="s">
        <v>41</v>
      </c>
      <c r="D34" s="1">
        <v>950</v>
      </c>
      <c r="E34" s="1">
        <v>25</v>
      </c>
      <c r="F34" s="1" t="s">
        <v>9</v>
      </c>
      <c r="G34" s="2">
        <f t="shared" si="0"/>
        <v>23750</v>
      </c>
      <c r="H34" s="2"/>
      <c r="I34" s="2"/>
      <c r="J34" s="2"/>
      <c r="K34" s="2"/>
      <c r="L34" s="2" t="str">
        <f t="shared" si="1"/>
        <v>High Price</v>
      </c>
      <c r="M34" s="2"/>
      <c r="N34" s="2"/>
      <c r="O34" s="2" t="str">
        <f t="shared" si="2"/>
        <v>17</v>
      </c>
      <c r="P34" s="2" t="str">
        <f t="shared" si="3"/>
        <v>IN</v>
      </c>
      <c r="Q34" s="2" t="str">
        <f t="shared" si="4"/>
        <v>JUN</v>
      </c>
    </row>
    <row r="35" spans="1:17" x14ac:dyDescent="0.3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2">
        <f t="shared" si="0"/>
        <v>2000</v>
      </c>
      <c r="H35" s="2"/>
      <c r="I35" s="2"/>
      <c r="J35" s="2"/>
      <c r="K35" s="2"/>
      <c r="L35" s="2" t="str">
        <f t="shared" si="1"/>
        <v>Standard Price</v>
      </c>
      <c r="M35" s="2"/>
      <c r="N35" s="2"/>
      <c r="O35" s="2" t="str">
        <f t="shared" si="2"/>
        <v>09</v>
      </c>
      <c r="P35" s="2" t="str">
        <f t="shared" si="3"/>
        <v>FR</v>
      </c>
      <c r="Q35" s="2" t="str">
        <f t="shared" si="4"/>
        <v>JUL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 S</dc:creator>
  <cp:lastModifiedBy>Babu S</cp:lastModifiedBy>
  <dcterms:created xsi:type="dcterms:W3CDTF">2025-11-16T14:38:58Z</dcterms:created>
  <dcterms:modified xsi:type="dcterms:W3CDTF">2025-11-19T07:35:56Z</dcterms:modified>
</cp:coreProperties>
</file>