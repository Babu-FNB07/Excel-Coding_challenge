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igma\Desktop\Assignments\"/>
    </mc:Choice>
  </mc:AlternateContent>
  <xr:revisionPtr revIDLastSave="0" documentId="13_ncr:1_{54323A04-6CF8-4EFC-A87A-F0E9300D34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M4" i="2"/>
  <c r="M2" i="2"/>
  <c r="H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" i="2"/>
  <c r="I4" i="2"/>
  <c r="I5" i="2"/>
  <c r="I6" i="2"/>
  <c r="I2" i="2"/>
  <c r="G2" i="2"/>
</calcChain>
</file>

<file path=xl/sharedStrings.xml><?xml version="1.0" encoding="utf-8"?>
<sst xmlns="http://schemas.openxmlformats.org/spreadsheetml/2006/main" count="184" uniqueCount="154">
  <si>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</si>
  <si>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</si>
  <si>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</si>
  <si>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</si>
  <si>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</si>
  <si>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</si>
  <si>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</si>
  <si>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</si>
  <si>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</si>
  <si>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</si>
  <si>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</si>
  <si>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</si>
  <si>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</si>
  <si>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</si>
  <si>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</si>
  <si>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</si>
  <si>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</si>
  <si>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</si>
  <si>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</si>
  <si>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</si>
  <si>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</si>
  <si>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</si>
  <si>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</si>
  <si>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</si>
  <si>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</si>
  <si>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</si>
  <si>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</si>
  <si>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</si>
  <si>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</si>
  <si>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</si>
  <si>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</si>
  <si>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</si>
  <si>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</si>
  <si>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</si>
  <si>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</si>
  <si>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</si>
  <si>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</si>
  <si>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</si>
  <si>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</si>
  <si>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</si>
  <si>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</si>
  <si>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</si>
  <si>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</si>
  <si>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</si>
  <si>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</si>
  <si>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</si>
  <si>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</si>
  <si>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</si>
  <si>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</si>
  <si>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</si>
  <si>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</si>
  <si>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</si>
  <si>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</si>
  <si>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</si>
  <si>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</si>
  <si>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</si>
  <si>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</si>
  <si>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</si>
  <si>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</si>
  <si>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</si>
  <si>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</si>
  <si>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</si>
  <si>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</si>
  <si>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</si>
  <si>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</si>
  <si>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</si>
  <si>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</si>
  <si>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</si>
  <si>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</si>
  <si>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</si>
  <si>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</si>
  <si>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</si>
  <si>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</si>
  <si>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</si>
  <si>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</si>
  <si>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</si>
  <si>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</si>
  <si>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</si>
  <si>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</si>
  <si>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</si>
  <si>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</si>
  <si>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</si>
  <si>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</si>
  <si>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</si>
  <si>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</si>
  <si>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</si>
  <si>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</si>
  <si>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</si>
  <si>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</si>
  <si>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</si>
  <si>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</si>
  <si>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</si>
  <si>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</si>
  <si>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</si>
  <si>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</si>
  <si>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</si>
  <si>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</si>
  <si>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</si>
  <si>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</si>
  <si>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</si>
  <si>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</si>
  <si>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</si>
  <si>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</si>
  <si>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</si>
  <si>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</si>
  <si>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</si>
  <si>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</si>
  <si>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</si>
  <si>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</si>
  <si>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</si>
  <si>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</si>
  <si>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</si>
  <si>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</si>
  <si>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</si>
  <si>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</si>
  <si>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</si>
  <si>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Blank</t>
  </si>
  <si>
    <t>Product name consistents</t>
  </si>
  <si>
    <t>Country Code</t>
  </si>
  <si>
    <t>Product/Brand name</t>
  </si>
  <si>
    <t>Price Doller</t>
  </si>
  <si>
    <t>Category Blank</t>
  </si>
  <si>
    <t>28-01-2025</t>
  </si>
  <si>
    <t>15-02-2025</t>
  </si>
  <si>
    <t>03-03-2025</t>
  </si>
  <si>
    <t>11-04-2025</t>
  </si>
  <si>
    <t>22-05-2025</t>
  </si>
  <si>
    <t>07-06-2025</t>
  </si>
  <si>
    <t>19-07-2025</t>
  </si>
  <si>
    <t>23-08-2025</t>
  </si>
  <si>
    <t>05-09-2025</t>
  </si>
  <si>
    <t>14-10-2025</t>
  </si>
  <si>
    <t>17-06-2025</t>
  </si>
  <si>
    <t>25-11-2025</t>
  </si>
  <si>
    <t>08-12-2025</t>
  </si>
  <si>
    <t>18-02-2025</t>
  </si>
  <si>
    <t>16-04-2025</t>
  </si>
  <si>
    <t>21-08-2025</t>
  </si>
  <si>
    <t>20-08-2025</t>
  </si>
  <si>
    <t>27-01-2025</t>
  </si>
  <si>
    <t>01-03-2025</t>
  </si>
  <si>
    <t>14-08-2025</t>
  </si>
  <si>
    <t>14-05-2025</t>
  </si>
  <si>
    <t>09-01-2025</t>
  </si>
  <si>
    <t>29-09-2025</t>
  </si>
  <si>
    <t>03-06-2025</t>
  </si>
  <si>
    <t>11-07-2025</t>
  </si>
  <si>
    <t>07-03-2025</t>
  </si>
  <si>
    <t>13-04-2025</t>
  </si>
  <si>
    <t>24-05-2025</t>
  </si>
  <si>
    <t>02-12-2025</t>
  </si>
  <si>
    <t>09-07-2025</t>
  </si>
  <si>
    <t>Manufacturing Date with Year</t>
  </si>
  <si>
    <t>Manf. 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</si>
</sst>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mm/dd/yy;@"/>
    <numFmt numFmtId="167" formatCode="[$-F800]dddd\,\ mmmm\ dd\,\ yyyy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3"/>
      <name val="Arial"/>
      <family val="2"/>
    </font>
    <font>
      <b/>
      <sz val="10"/>
      <color theme="3"/>
      <name val="Arial"/>
      <family val="2"/>
      <scheme val="minor"/>
    </font>
    <font>
      <sz val="10"/>
      <color theme="3"/>
      <name val="Arial"/>
      <family val="2"/>
    </font>
    <font>
      <sz val="10"/>
      <color theme="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4DD0E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4" borderId="1" xfId="0" applyFont="1" applyFill="1" applyBorder="1" applyAlignment="1">
      <alignment horizontal="center"/>
    </xf>
    <xf numFmtId="49" fontId="9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65" fontId="10" fillId="4" borderId="1" xfId="0" applyNumberFormat="1" applyFont="1" applyFill="1" applyBorder="1" applyAlignment="1">
      <alignment horizontal="center"/>
    </xf>
    <xf numFmtId="164" fontId="10" fillId="4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49" fontId="9" fillId="5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theme="6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theme="6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6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workbookViewId="0">
      <selection activeCell="I2" sqref="I2"/>
    </sheetView>
  </sheetViews>
  <sheetFormatPr defaultColWidth="12.6640625" defaultRowHeight="15" customHeight="1" x14ac:dyDescent="0.25"/>
  <cols>
    <col min="1" max="1" width="10.88671875" customWidth="1"/>
    <col min="2" max="4" width="12.6640625" customWidth="1"/>
    <col min="5" max="5" width="9.44140625" customWidth="1"/>
    <col min="6" max="6" width="10.6640625" customWidth="1"/>
    <col min="7" max="7" width="11.109375" customWidth="1"/>
    <col min="8" max="8" width="14.5546875" bestFit="1" customWidth="1"/>
    <col min="9" max="9" width="24.21875" bestFit="1" customWidth="1"/>
    <col min="10" max="10" width="10.88671875" customWidth="1"/>
    <col min="12" max="12" width="21.44140625" bestFit="1" customWidth="1"/>
    <col min="13" max="13" width="11.109375" customWidth="1"/>
    <col min="14" max="14" width="27.77734375" customWidth="1"/>
  </cols>
  <sheetData>
    <row r="1" spans="1:14" ht="15.75" customHeight="1" x14ac:dyDescent="0.25">
      <c r="A1" s="14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116</v>
      </c>
      <c r="H1" s="15" t="s">
        <v>121</v>
      </c>
      <c r="I1" s="14" t="s">
        <v>117</v>
      </c>
      <c r="J1" s="15" t="s">
        <v>153</v>
      </c>
      <c r="K1" s="14" t="s">
        <v>118</v>
      </c>
      <c r="L1" s="15" t="s">
        <v>119</v>
      </c>
      <c r="M1" s="14" t="s">
        <v>120</v>
      </c>
      <c r="N1" s="16" t="s">
        <v>152</v>
      </c>
    </row>
    <row r="2" spans="1:14" ht="15.75" customHeight="1" x14ac:dyDescent="0.25">
      <c r="A2" s="7" t="s">
        <v>25</v>
      </c>
      <c r="B2" s="7" t="s">
        <v>26</v>
      </c>
      <c r="C2" s="7" t="s">
        <v>27</v>
      </c>
      <c r="D2" s="7">
        <v>1000</v>
      </c>
      <c r="E2" s="7">
        <v>30</v>
      </c>
      <c r="F2" s="8" t="s">
        <v>28</v>
      </c>
      <c r="G2" s="9">
        <f>COUNTBLANK(D2:D35)</f>
        <v>6</v>
      </c>
      <c r="H2" s="9">
        <f>COUNTBLANK(F2:F32)</f>
        <v>4</v>
      </c>
      <c r="I2" s="9" t="str">
        <f t="shared" ref="I2:I32" si="0">PROPER(B2)</f>
        <v>Laptop</v>
      </c>
      <c r="J2" s="10" t="str">
        <f>LEFT(A2, FIND("-", A2, FIND("-", A2)  + 1) - 1)</f>
        <v>28-JAN</v>
      </c>
      <c r="K2" s="9" t="str">
        <f t="shared" ref="K2:K32" si="1">RIGHT(A2, 2)</f>
        <v>US</v>
      </c>
      <c r="L2" s="9" t="str">
        <f>I2&amp; "-" &amp;C2</f>
        <v>Laptop-Dell</v>
      </c>
      <c r="M2" s="11" t="str">
        <f>TEXT(D2, "$#,##,0")</f>
        <v>$1,000</v>
      </c>
      <c r="N2" s="17" t="s">
        <v>122</v>
      </c>
    </row>
    <row r="3" spans="1:14" ht="15.75" customHeight="1" x14ac:dyDescent="0.25">
      <c r="A3" s="12" t="s">
        <v>29</v>
      </c>
      <c r="B3" s="12" t="s">
        <v>30</v>
      </c>
      <c r="C3" s="12" t="s">
        <v>31</v>
      </c>
      <c r="D3" s="12">
        <v>80</v>
      </c>
      <c r="E3" s="12">
        <v>15</v>
      </c>
      <c r="F3" s="13" t="s">
        <v>32</v>
      </c>
      <c r="G3" s="9"/>
      <c r="H3" s="9"/>
      <c r="I3" s="9" t="str">
        <f t="shared" si="0"/>
        <v>Sneakers</v>
      </c>
      <c r="J3" s="10" t="str">
        <f t="shared" ref="J3:J32" si="2">LEFT(A3, FIND("-", A3, FIND("-", A3)  + 1) - 1)</f>
        <v>15-FEB</v>
      </c>
      <c r="K3" s="9" t="str">
        <f t="shared" si="1"/>
        <v>US</v>
      </c>
      <c r="L3" s="9" t="str">
        <f t="shared" ref="L3:L32" si="3">I3&amp; "-" &amp;C3</f>
        <v>Sneakers-Nike</v>
      </c>
      <c r="M3" s="11" t="str">
        <f t="shared" ref="M3:M32" si="4">TEXT(D3, "$#,##,0")</f>
        <v>$80</v>
      </c>
      <c r="N3" s="17" t="s">
        <v>123</v>
      </c>
    </row>
    <row r="4" spans="1:14" ht="15.75" customHeight="1" x14ac:dyDescent="0.25">
      <c r="A4" s="7" t="s">
        <v>33</v>
      </c>
      <c r="B4" s="7" t="s">
        <v>34</v>
      </c>
      <c r="C4" s="7" t="s">
        <v>35</v>
      </c>
      <c r="D4" s="7">
        <v>130</v>
      </c>
      <c r="E4" s="7">
        <v>40</v>
      </c>
      <c r="F4" s="8" t="s">
        <v>36</v>
      </c>
      <c r="G4" s="9"/>
      <c r="H4" s="9"/>
      <c r="I4" s="9" t="str">
        <f t="shared" si="0"/>
        <v>Coffee Maker</v>
      </c>
      <c r="J4" s="10" t="str">
        <f t="shared" si="2"/>
        <v>03-MAR</v>
      </c>
      <c r="K4" s="9" t="str">
        <f t="shared" si="1"/>
        <v>US</v>
      </c>
      <c r="L4" s="9" t="str">
        <f t="shared" si="3"/>
        <v>Coffee Maker-Keurig</v>
      </c>
      <c r="M4" s="11" t="str">
        <f t="shared" si="4"/>
        <v>$130</v>
      </c>
      <c r="N4" s="17" t="s">
        <v>124</v>
      </c>
    </row>
    <row r="5" spans="1:14" ht="15.75" customHeight="1" x14ac:dyDescent="0.25">
      <c r="A5" s="12" t="s">
        <v>37</v>
      </c>
      <c r="B5" s="12" t="s">
        <v>38</v>
      </c>
      <c r="C5" s="12" t="s">
        <v>39</v>
      </c>
      <c r="D5" s="12">
        <v>900</v>
      </c>
      <c r="E5" s="12">
        <v>25</v>
      </c>
      <c r="F5" s="13" t="s">
        <v>28</v>
      </c>
      <c r="G5" s="9"/>
      <c r="H5" s="9"/>
      <c r="I5" s="9" t="str">
        <f t="shared" si="0"/>
        <v>Smartphone</v>
      </c>
      <c r="J5" s="10" t="str">
        <f t="shared" si="2"/>
        <v>11-APR</v>
      </c>
      <c r="K5" s="9" t="str">
        <f t="shared" si="1"/>
        <v>US</v>
      </c>
      <c r="L5" s="9" t="str">
        <f t="shared" si="3"/>
        <v>Smartphone-Samsung</v>
      </c>
      <c r="M5" s="11" t="str">
        <f t="shared" si="4"/>
        <v>$900</v>
      </c>
      <c r="N5" s="17" t="s">
        <v>125</v>
      </c>
    </row>
    <row r="6" spans="1:14" ht="15.75" customHeight="1" x14ac:dyDescent="0.25">
      <c r="A6" s="7" t="s">
        <v>40</v>
      </c>
      <c r="B6" s="7" t="s">
        <v>41</v>
      </c>
      <c r="C6" s="7" t="s">
        <v>42</v>
      </c>
      <c r="D6" s="7">
        <v>70</v>
      </c>
      <c r="E6" s="7">
        <v>20</v>
      </c>
      <c r="F6" s="8"/>
      <c r="G6" s="9"/>
      <c r="H6" s="9"/>
      <c r="I6" s="9" t="str">
        <f t="shared" si="0"/>
        <v>Backpack</v>
      </c>
      <c r="J6" s="10" t="str">
        <f t="shared" si="2"/>
        <v>22-MAY</v>
      </c>
      <c r="K6" s="9" t="str">
        <f t="shared" si="1"/>
        <v>US</v>
      </c>
      <c r="L6" s="9" t="str">
        <f t="shared" si="3"/>
        <v>Backpack-North Face</v>
      </c>
      <c r="M6" s="11" t="str">
        <f t="shared" si="4"/>
        <v>$70</v>
      </c>
      <c r="N6" s="17" t="s">
        <v>126</v>
      </c>
    </row>
    <row r="7" spans="1:14" ht="15.75" customHeight="1" x14ac:dyDescent="0.25">
      <c r="A7" s="12" t="s">
        <v>43</v>
      </c>
      <c r="B7" s="12" t="s">
        <v>44</v>
      </c>
      <c r="C7" s="12" t="s">
        <v>45</v>
      </c>
      <c r="D7" s="12"/>
      <c r="E7" s="12">
        <v>45</v>
      </c>
      <c r="F7" s="13" t="s">
        <v>28</v>
      </c>
      <c r="G7" s="9"/>
      <c r="H7" s="9"/>
      <c r="I7" s="9" t="str">
        <f t="shared" si="0"/>
        <v>Headphones</v>
      </c>
      <c r="J7" s="10" t="str">
        <f t="shared" si="2"/>
        <v>07-JUN</v>
      </c>
      <c r="K7" s="9" t="str">
        <f t="shared" si="1"/>
        <v>UK</v>
      </c>
      <c r="L7" s="9" t="str">
        <f t="shared" si="3"/>
        <v>Headphones-Sony</v>
      </c>
      <c r="M7" s="11" t="str">
        <f t="shared" si="4"/>
        <v>$0</v>
      </c>
      <c r="N7" s="17" t="s">
        <v>127</v>
      </c>
    </row>
    <row r="8" spans="1:14" ht="15.75" customHeight="1" x14ac:dyDescent="0.25">
      <c r="A8" s="7" t="s">
        <v>47</v>
      </c>
      <c r="B8" s="7" t="s">
        <v>48</v>
      </c>
      <c r="C8" s="7" t="s">
        <v>49</v>
      </c>
      <c r="D8" s="7">
        <v>30</v>
      </c>
      <c r="E8" s="7">
        <v>5</v>
      </c>
      <c r="F8" s="8" t="s">
        <v>32</v>
      </c>
      <c r="G8" s="9"/>
      <c r="H8" s="9"/>
      <c r="I8" s="9" t="str">
        <f t="shared" si="0"/>
        <v>T-Shirt</v>
      </c>
      <c r="J8" s="10" t="str">
        <f t="shared" si="2"/>
        <v>19-JUL</v>
      </c>
      <c r="K8" s="9" t="str">
        <f t="shared" si="1"/>
        <v>UK</v>
      </c>
      <c r="L8" s="9" t="str">
        <f t="shared" si="3"/>
        <v>T-Shirt-Adidas</v>
      </c>
      <c r="M8" s="11" t="str">
        <f t="shared" si="4"/>
        <v>$30</v>
      </c>
      <c r="N8" s="17" t="s">
        <v>128</v>
      </c>
    </row>
    <row r="9" spans="1:14" ht="15.75" customHeight="1" x14ac:dyDescent="0.25">
      <c r="A9" s="12" t="s">
        <v>50</v>
      </c>
      <c r="B9" s="12" t="s">
        <v>51</v>
      </c>
      <c r="C9" s="12" t="s">
        <v>52</v>
      </c>
      <c r="D9" s="12">
        <v>90</v>
      </c>
      <c r="E9" s="12">
        <v>35</v>
      </c>
      <c r="F9" s="13" t="s">
        <v>36</v>
      </c>
      <c r="G9" s="9"/>
      <c r="H9" s="9"/>
      <c r="I9" s="9" t="str">
        <f t="shared" si="0"/>
        <v>Blender</v>
      </c>
      <c r="J9" s="10" t="str">
        <f t="shared" si="2"/>
        <v>23-AUG</v>
      </c>
      <c r="K9" s="9" t="str">
        <f t="shared" si="1"/>
        <v>UK</v>
      </c>
      <c r="L9" s="9" t="str">
        <f t="shared" si="3"/>
        <v>Blender-Ninja</v>
      </c>
      <c r="M9" s="11" t="str">
        <f t="shared" si="4"/>
        <v>$90</v>
      </c>
      <c r="N9" s="17" t="s">
        <v>129</v>
      </c>
    </row>
    <row r="10" spans="1:14" ht="15.75" customHeight="1" x14ac:dyDescent="0.25">
      <c r="A10" s="7" t="s">
        <v>53</v>
      </c>
      <c r="B10" s="7" t="s">
        <v>54</v>
      </c>
      <c r="C10" s="7" t="s">
        <v>55</v>
      </c>
      <c r="D10" s="7">
        <v>500</v>
      </c>
      <c r="E10" s="7">
        <v>50</v>
      </c>
      <c r="F10" s="13" t="s">
        <v>28</v>
      </c>
      <c r="G10" s="9"/>
      <c r="H10" s="9"/>
      <c r="I10" s="9" t="str">
        <f t="shared" si="0"/>
        <v>Tablet</v>
      </c>
      <c r="J10" s="10" t="str">
        <f t="shared" si="2"/>
        <v>05-SEP</v>
      </c>
      <c r="K10" s="9" t="str">
        <f t="shared" si="1"/>
        <v>UK</v>
      </c>
      <c r="L10" s="9" t="str">
        <f t="shared" si="3"/>
        <v>Tablet-Apple</v>
      </c>
      <c r="M10" s="11" t="str">
        <f t="shared" si="4"/>
        <v>$500</v>
      </c>
      <c r="N10" s="17" t="s">
        <v>130</v>
      </c>
    </row>
    <row r="11" spans="1:14" ht="15.75" customHeight="1" x14ac:dyDescent="0.25">
      <c r="A11" s="12" t="s">
        <v>56</v>
      </c>
      <c r="B11" s="12" t="s">
        <v>57</v>
      </c>
      <c r="C11" s="12" t="s">
        <v>58</v>
      </c>
      <c r="D11" s="12">
        <v>130</v>
      </c>
      <c r="E11" s="12">
        <v>10</v>
      </c>
      <c r="F11" s="13" t="s">
        <v>59</v>
      </c>
      <c r="G11" s="9"/>
      <c r="H11" s="9"/>
      <c r="I11" s="9" t="str">
        <f t="shared" si="0"/>
        <v>Hiking Boots</v>
      </c>
      <c r="J11" s="10" t="str">
        <f t="shared" si="2"/>
        <v>14-OCT</v>
      </c>
      <c r="K11" s="9" t="str">
        <f t="shared" si="1"/>
        <v>UK</v>
      </c>
      <c r="L11" s="9" t="str">
        <f t="shared" si="3"/>
        <v>Hiking Boots-Timberland</v>
      </c>
      <c r="M11" s="11" t="str">
        <f t="shared" si="4"/>
        <v>$130</v>
      </c>
      <c r="N11" s="17" t="s">
        <v>131</v>
      </c>
    </row>
    <row r="12" spans="1:14" ht="15.75" customHeight="1" x14ac:dyDescent="0.25">
      <c r="A12" s="7" t="s">
        <v>60</v>
      </c>
      <c r="B12" s="7" t="s">
        <v>61</v>
      </c>
      <c r="C12" s="7" t="s">
        <v>62</v>
      </c>
      <c r="D12" s="7">
        <v>950</v>
      </c>
      <c r="E12" s="7">
        <v>25</v>
      </c>
      <c r="F12" s="13" t="s">
        <v>28</v>
      </c>
      <c r="G12" s="9"/>
      <c r="H12" s="9"/>
      <c r="I12" s="9" t="str">
        <f t="shared" si="0"/>
        <v>Laptop</v>
      </c>
      <c r="J12" s="10" t="str">
        <f t="shared" si="2"/>
        <v>17-JUN</v>
      </c>
      <c r="K12" s="9" t="str">
        <f t="shared" si="1"/>
        <v>IN</v>
      </c>
      <c r="L12" s="9" t="str">
        <f t="shared" si="3"/>
        <v>Laptop-HP</v>
      </c>
      <c r="M12" s="11" t="str">
        <f t="shared" si="4"/>
        <v>$950</v>
      </c>
      <c r="N12" s="17" t="s">
        <v>132</v>
      </c>
    </row>
    <row r="13" spans="1:14" ht="15.75" customHeight="1" x14ac:dyDescent="0.25">
      <c r="A13" s="12" t="s">
        <v>63</v>
      </c>
      <c r="B13" s="12" t="s">
        <v>30</v>
      </c>
      <c r="C13" s="12" t="s">
        <v>49</v>
      </c>
      <c r="D13" s="12">
        <v>90</v>
      </c>
      <c r="E13" s="12">
        <v>40</v>
      </c>
      <c r="F13" s="13"/>
      <c r="G13" s="9"/>
      <c r="H13" s="9"/>
      <c r="I13" s="9" t="str">
        <f t="shared" si="0"/>
        <v>Sneakers</v>
      </c>
      <c r="J13" s="10" t="str">
        <f t="shared" si="2"/>
        <v>25-NOV</v>
      </c>
      <c r="K13" s="9" t="str">
        <f t="shared" si="1"/>
        <v>AU</v>
      </c>
      <c r="L13" s="9" t="str">
        <f t="shared" si="3"/>
        <v>Sneakers-Adidas</v>
      </c>
      <c r="M13" s="11" t="str">
        <f t="shared" si="4"/>
        <v>$90</v>
      </c>
      <c r="N13" s="17" t="s">
        <v>133</v>
      </c>
    </row>
    <row r="14" spans="1:14" ht="15.75" customHeight="1" x14ac:dyDescent="0.25">
      <c r="A14" s="7" t="s">
        <v>64</v>
      </c>
      <c r="B14" s="7" t="s">
        <v>34</v>
      </c>
      <c r="C14" s="7" t="s">
        <v>65</v>
      </c>
      <c r="D14" s="7">
        <v>120</v>
      </c>
      <c r="E14" s="7">
        <v>35</v>
      </c>
      <c r="F14" s="8"/>
      <c r="G14" s="9"/>
      <c r="H14" s="9"/>
      <c r="I14" s="9" t="str">
        <f t="shared" si="0"/>
        <v>Coffee Maker</v>
      </c>
      <c r="J14" s="10" t="str">
        <f t="shared" si="2"/>
        <v>08-DEC</v>
      </c>
      <c r="K14" s="9" t="str">
        <f t="shared" si="1"/>
        <v>DE</v>
      </c>
      <c r="L14" s="9" t="str">
        <f t="shared" si="3"/>
        <v>Coffee Maker-Nespresso</v>
      </c>
      <c r="M14" s="11" t="str">
        <f t="shared" si="4"/>
        <v>$120</v>
      </c>
      <c r="N14" s="17" t="s">
        <v>134</v>
      </c>
    </row>
    <row r="15" spans="1:14" ht="15.75" customHeight="1" x14ac:dyDescent="0.25">
      <c r="A15" s="12" t="s">
        <v>66</v>
      </c>
      <c r="B15" s="12" t="s">
        <v>67</v>
      </c>
      <c r="C15" s="12" t="s">
        <v>68</v>
      </c>
      <c r="D15" s="12">
        <v>150</v>
      </c>
      <c r="E15" s="12">
        <v>15</v>
      </c>
      <c r="F15" s="13" t="s">
        <v>46</v>
      </c>
      <c r="G15" s="9"/>
      <c r="H15" s="9"/>
      <c r="I15" s="9" t="str">
        <f t="shared" si="0"/>
        <v>Smartwatch</v>
      </c>
      <c r="J15" s="10" t="str">
        <f t="shared" si="2"/>
        <v>18-FEB</v>
      </c>
      <c r="K15" s="9" t="str">
        <f t="shared" si="1"/>
        <v>CA</v>
      </c>
      <c r="L15" s="9" t="str">
        <f t="shared" si="3"/>
        <v>Smartwatch-Fitbit</v>
      </c>
      <c r="M15" s="11" t="str">
        <f t="shared" si="4"/>
        <v>$150</v>
      </c>
      <c r="N15" s="17" t="s">
        <v>135</v>
      </c>
    </row>
    <row r="16" spans="1:14" ht="15.75" customHeight="1" x14ac:dyDescent="0.25">
      <c r="A16" s="7" t="s">
        <v>69</v>
      </c>
      <c r="B16" s="7" t="s">
        <v>70</v>
      </c>
      <c r="C16" s="7" t="s">
        <v>71</v>
      </c>
      <c r="D16" s="7">
        <v>250</v>
      </c>
      <c r="E16" s="7">
        <v>20</v>
      </c>
      <c r="F16" s="8" t="s">
        <v>46</v>
      </c>
      <c r="G16" s="9"/>
      <c r="H16" s="9"/>
      <c r="I16" s="9" t="str">
        <f t="shared" si="0"/>
        <v>Headphones</v>
      </c>
      <c r="J16" s="10" t="str">
        <f t="shared" si="2"/>
        <v>16-APR</v>
      </c>
      <c r="K16" s="9" t="str">
        <f t="shared" si="1"/>
        <v>ES</v>
      </c>
      <c r="L16" s="9" t="str">
        <f t="shared" si="3"/>
        <v>Headphones-Bose</v>
      </c>
      <c r="M16" s="11" t="str">
        <f t="shared" si="4"/>
        <v>$250</v>
      </c>
      <c r="N16" s="17" t="s">
        <v>136</v>
      </c>
    </row>
    <row r="17" spans="1:14" ht="15.75" customHeight="1" x14ac:dyDescent="0.25">
      <c r="A17" s="12" t="s">
        <v>72</v>
      </c>
      <c r="B17" s="12" t="s">
        <v>73</v>
      </c>
      <c r="C17" s="12" t="s">
        <v>74</v>
      </c>
      <c r="D17" s="12">
        <v>50</v>
      </c>
      <c r="E17" s="12">
        <v>35</v>
      </c>
      <c r="F17" s="13" t="s">
        <v>75</v>
      </c>
      <c r="G17" s="9"/>
      <c r="H17" s="9"/>
      <c r="I17" s="9" t="str">
        <f t="shared" si="0"/>
        <v>Laptop Bag</v>
      </c>
      <c r="J17" s="10" t="str">
        <f t="shared" si="2"/>
        <v>21-AUG</v>
      </c>
      <c r="K17" s="9" t="str">
        <f t="shared" si="1"/>
        <v>CA</v>
      </c>
      <c r="L17" s="9" t="str">
        <f t="shared" si="3"/>
        <v>Laptop Bag-Samsonite</v>
      </c>
      <c r="M17" s="11" t="str">
        <f t="shared" si="4"/>
        <v>$50</v>
      </c>
      <c r="N17" s="17" t="s">
        <v>137</v>
      </c>
    </row>
    <row r="18" spans="1:14" ht="15.75" customHeight="1" x14ac:dyDescent="0.25">
      <c r="A18" s="7" t="s">
        <v>76</v>
      </c>
      <c r="B18" s="7" t="s">
        <v>67</v>
      </c>
      <c r="C18" s="7" t="s">
        <v>77</v>
      </c>
      <c r="D18" s="7">
        <v>160</v>
      </c>
      <c r="E18" s="7">
        <v>15</v>
      </c>
      <c r="F18" s="8" t="s">
        <v>46</v>
      </c>
      <c r="G18" s="9"/>
      <c r="H18" s="9"/>
      <c r="I18" s="9" t="str">
        <f t="shared" si="0"/>
        <v>Smartwatch</v>
      </c>
      <c r="J18" s="10" t="str">
        <f t="shared" si="2"/>
        <v>20-AUG</v>
      </c>
      <c r="K18" s="9" t="str">
        <f t="shared" si="1"/>
        <v>CN</v>
      </c>
      <c r="L18" s="9" t="str">
        <f t="shared" si="3"/>
        <v>Smartwatch-Huawei</v>
      </c>
      <c r="M18" s="11" t="str">
        <f t="shared" si="4"/>
        <v>$160</v>
      </c>
      <c r="N18" s="17" t="s">
        <v>138</v>
      </c>
    </row>
    <row r="19" spans="1:14" ht="15.75" customHeight="1" x14ac:dyDescent="0.25">
      <c r="A19" s="12" t="s">
        <v>78</v>
      </c>
      <c r="B19" s="12" t="s">
        <v>26</v>
      </c>
      <c r="C19" s="12" t="s">
        <v>79</v>
      </c>
      <c r="D19" s="12">
        <v>980</v>
      </c>
      <c r="E19" s="12">
        <v>10</v>
      </c>
      <c r="F19" s="13" t="s">
        <v>28</v>
      </c>
      <c r="G19" s="9"/>
      <c r="H19" s="9"/>
      <c r="I19" s="9" t="str">
        <f t="shared" si="0"/>
        <v>Laptop</v>
      </c>
      <c r="J19" s="10" t="str">
        <f t="shared" si="2"/>
        <v>27-JAN</v>
      </c>
      <c r="K19" s="9" t="str">
        <f t="shared" si="1"/>
        <v>IT</v>
      </c>
      <c r="L19" s="9" t="str">
        <f t="shared" si="3"/>
        <v>Laptop-Asus</v>
      </c>
      <c r="M19" s="11" t="str">
        <f t="shared" si="4"/>
        <v>$980</v>
      </c>
      <c r="N19" s="17" t="s">
        <v>139</v>
      </c>
    </row>
    <row r="20" spans="1:14" ht="15.75" customHeight="1" x14ac:dyDescent="0.25">
      <c r="A20" s="7" t="s">
        <v>80</v>
      </c>
      <c r="B20" s="7" t="s">
        <v>81</v>
      </c>
      <c r="C20" s="7" t="s">
        <v>82</v>
      </c>
      <c r="D20" s="7">
        <v>150</v>
      </c>
      <c r="E20" s="7">
        <v>15</v>
      </c>
      <c r="F20" s="8" t="s">
        <v>32</v>
      </c>
      <c r="G20" s="9"/>
      <c r="H20" s="9"/>
      <c r="I20" s="9" t="str">
        <f t="shared" si="0"/>
        <v>Sunglasses</v>
      </c>
      <c r="J20" s="10" t="str">
        <f t="shared" si="2"/>
        <v>01-MAR</v>
      </c>
      <c r="K20" s="9" t="str">
        <f t="shared" si="1"/>
        <v>UK</v>
      </c>
      <c r="L20" s="9" t="str">
        <f t="shared" si="3"/>
        <v>Sunglasses-Oakley</v>
      </c>
      <c r="M20" s="11" t="str">
        <f t="shared" si="4"/>
        <v>$150</v>
      </c>
      <c r="N20" s="17" t="s">
        <v>140</v>
      </c>
    </row>
    <row r="21" spans="1:14" ht="15.75" customHeight="1" x14ac:dyDescent="0.25">
      <c r="A21" s="12" t="s">
        <v>83</v>
      </c>
      <c r="B21" s="12" t="s">
        <v>84</v>
      </c>
      <c r="C21" s="12" t="s">
        <v>85</v>
      </c>
      <c r="D21" s="12"/>
      <c r="E21" s="12">
        <v>10</v>
      </c>
      <c r="F21" s="13" t="s">
        <v>59</v>
      </c>
      <c r="G21" s="9"/>
      <c r="H21" s="9"/>
      <c r="I21" s="9" t="str">
        <f t="shared" si="0"/>
        <v>Camping Tent</v>
      </c>
      <c r="J21" s="10" t="str">
        <f t="shared" si="2"/>
        <v>14-AUG</v>
      </c>
      <c r="K21" s="9" t="str">
        <f t="shared" si="1"/>
        <v>US</v>
      </c>
      <c r="L21" s="9" t="str">
        <f t="shared" si="3"/>
        <v>Camping Tent-Coleman</v>
      </c>
      <c r="M21" s="11" t="str">
        <f t="shared" si="4"/>
        <v>$0</v>
      </c>
      <c r="N21" s="17" t="s">
        <v>141</v>
      </c>
    </row>
    <row r="22" spans="1:14" ht="15.75" customHeight="1" x14ac:dyDescent="0.25">
      <c r="A22" s="7" t="s">
        <v>86</v>
      </c>
      <c r="B22" s="7" t="s">
        <v>87</v>
      </c>
      <c r="C22" s="7" t="s">
        <v>88</v>
      </c>
      <c r="D22" s="7">
        <v>700</v>
      </c>
      <c r="E22" s="7">
        <v>50</v>
      </c>
      <c r="F22" s="13" t="s">
        <v>28</v>
      </c>
      <c r="G22" s="9"/>
      <c r="H22" s="9"/>
      <c r="I22" s="9" t="str">
        <f t="shared" si="0"/>
        <v>Camera</v>
      </c>
      <c r="J22" s="10" t="str">
        <f t="shared" si="2"/>
        <v>14-MAY</v>
      </c>
      <c r="K22" s="9" t="str">
        <f t="shared" si="1"/>
        <v>RU</v>
      </c>
      <c r="L22" s="9" t="str">
        <f t="shared" si="3"/>
        <v>Camera-Nikon</v>
      </c>
      <c r="M22" s="11" t="str">
        <f t="shared" si="4"/>
        <v>$700</v>
      </c>
      <c r="N22" s="17" t="s">
        <v>142</v>
      </c>
    </row>
    <row r="23" spans="1:14" ht="15.75" customHeight="1" x14ac:dyDescent="0.25">
      <c r="A23" s="12" t="s">
        <v>89</v>
      </c>
      <c r="B23" s="12" t="s">
        <v>90</v>
      </c>
      <c r="C23" s="12" t="s">
        <v>91</v>
      </c>
      <c r="D23" s="12">
        <v>80</v>
      </c>
      <c r="E23" s="12">
        <v>20</v>
      </c>
      <c r="F23" s="13" t="s">
        <v>36</v>
      </c>
      <c r="G23" s="9"/>
      <c r="H23" s="9"/>
      <c r="I23" s="9" t="str">
        <f t="shared" si="0"/>
        <v>Microwave</v>
      </c>
      <c r="J23" s="10" t="str">
        <f t="shared" si="2"/>
        <v>09-JAN</v>
      </c>
      <c r="K23" s="9" t="str">
        <f t="shared" si="1"/>
        <v>CA</v>
      </c>
      <c r="L23" s="9" t="str">
        <f t="shared" si="3"/>
        <v>Microwave-Panasonic</v>
      </c>
      <c r="M23" s="11" t="str">
        <f t="shared" si="4"/>
        <v>$80</v>
      </c>
      <c r="N23" s="17" t="s">
        <v>143</v>
      </c>
    </row>
    <row r="24" spans="1:14" ht="15.75" customHeight="1" x14ac:dyDescent="0.25">
      <c r="A24" s="7" t="s">
        <v>92</v>
      </c>
      <c r="B24" s="7" t="s">
        <v>93</v>
      </c>
      <c r="C24" s="7" t="s">
        <v>94</v>
      </c>
      <c r="D24" s="7">
        <v>150</v>
      </c>
      <c r="E24" s="7">
        <v>30</v>
      </c>
      <c r="F24" s="8"/>
      <c r="G24" s="9"/>
      <c r="H24" s="9"/>
      <c r="I24" s="9" t="str">
        <f t="shared" si="0"/>
        <v>Fitness Tracker</v>
      </c>
      <c r="J24" s="10" t="str">
        <f t="shared" si="2"/>
        <v>19-JUL</v>
      </c>
      <c r="K24" s="9" t="str">
        <f t="shared" si="1"/>
        <v>BR</v>
      </c>
      <c r="L24" s="9" t="str">
        <f t="shared" si="3"/>
        <v>Fitness Tracker-Xiaomi</v>
      </c>
      <c r="M24" s="11" t="str">
        <f t="shared" si="4"/>
        <v>$150</v>
      </c>
      <c r="N24" s="17" t="s">
        <v>128</v>
      </c>
    </row>
    <row r="25" spans="1:14" ht="15.75" customHeight="1" x14ac:dyDescent="0.25">
      <c r="A25" s="7" t="s">
        <v>95</v>
      </c>
      <c r="B25" s="7" t="s">
        <v>96</v>
      </c>
      <c r="C25" s="7" t="s">
        <v>97</v>
      </c>
      <c r="D25" s="7">
        <v>800</v>
      </c>
      <c r="E25" s="7">
        <v>45</v>
      </c>
      <c r="F25" s="13" t="s">
        <v>28</v>
      </c>
      <c r="G25" s="9"/>
      <c r="H25" s="9"/>
      <c r="I25" s="9" t="str">
        <f t="shared" si="0"/>
        <v>Smartphone</v>
      </c>
      <c r="J25" s="10" t="str">
        <f t="shared" si="2"/>
        <v>29-SEP</v>
      </c>
      <c r="K25" s="9" t="str">
        <f t="shared" si="1"/>
        <v>CA</v>
      </c>
      <c r="L25" s="9" t="str">
        <f t="shared" si="3"/>
        <v>Smartphone-Google</v>
      </c>
      <c r="M25" s="11" t="str">
        <f t="shared" si="4"/>
        <v>$800</v>
      </c>
      <c r="N25" s="17" t="s">
        <v>144</v>
      </c>
    </row>
    <row r="26" spans="1:14" ht="15.75" customHeight="1" x14ac:dyDescent="0.25">
      <c r="A26" s="12" t="s">
        <v>98</v>
      </c>
      <c r="B26" s="12" t="s">
        <v>81</v>
      </c>
      <c r="C26" s="12" t="s">
        <v>99</v>
      </c>
      <c r="D26" s="12"/>
      <c r="E26" s="12">
        <v>25</v>
      </c>
      <c r="F26" s="13" t="s">
        <v>32</v>
      </c>
      <c r="G26" s="9"/>
      <c r="H26" s="9"/>
      <c r="I26" s="9" t="str">
        <f t="shared" si="0"/>
        <v>Sunglasses</v>
      </c>
      <c r="J26" s="10" t="str">
        <f t="shared" si="2"/>
        <v>03-JUN</v>
      </c>
      <c r="K26" s="9" t="str">
        <f t="shared" si="1"/>
        <v>CA</v>
      </c>
      <c r="L26" s="9" t="str">
        <f t="shared" si="3"/>
        <v>Sunglasses-Ray-Ban</v>
      </c>
      <c r="M26" s="11" t="str">
        <f t="shared" si="4"/>
        <v>$0</v>
      </c>
      <c r="N26" s="17" t="s">
        <v>145</v>
      </c>
    </row>
    <row r="27" spans="1:14" ht="15.75" customHeight="1" x14ac:dyDescent="0.25">
      <c r="A27" s="7" t="s">
        <v>100</v>
      </c>
      <c r="B27" s="7" t="s">
        <v>51</v>
      </c>
      <c r="C27" s="7" t="s">
        <v>101</v>
      </c>
      <c r="D27" s="7">
        <v>400</v>
      </c>
      <c r="E27" s="7">
        <v>40</v>
      </c>
      <c r="F27" s="8" t="s">
        <v>36</v>
      </c>
      <c r="G27" s="9"/>
      <c r="H27" s="9"/>
      <c r="I27" s="9" t="str">
        <f t="shared" si="0"/>
        <v>Blender</v>
      </c>
      <c r="J27" s="10" t="str">
        <f t="shared" si="2"/>
        <v>11-JUL</v>
      </c>
      <c r="K27" s="9" t="str">
        <f t="shared" si="1"/>
        <v>CA</v>
      </c>
      <c r="L27" s="9" t="str">
        <f t="shared" si="3"/>
        <v>Blender-Vitamix</v>
      </c>
      <c r="M27" s="11" t="str">
        <f t="shared" si="4"/>
        <v>$400</v>
      </c>
      <c r="N27" s="17" t="s">
        <v>146</v>
      </c>
    </row>
    <row r="28" spans="1:14" ht="15.75" customHeight="1" x14ac:dyDescent="0.25">
      <c r="A28" s="7" t="s">
        <v>102</v>
      </c>
      <c r="B28" s="7" t="s">
        <v>103</v>
      </c>
      <c r="C28" s="7" t="s">
        <v>104</v>
      </c>
      <c r="D28" s="7">
        <v>60</v>
      </c>
      <c r="E28" s="7">
        <v>30</v>
      </c>
      <c r="F28" s="8" t="s">
        <v>32</v>
      </c>
      <c r="G28" s="9"/>
      <c r="H28" s="9"/>
      <c r="I28" s="9" t="str">
        <f t="shared" si="0"/>
        <v>Dress</v>
      </c>
      <c r="J28" s="10" t="str">
        <f t="shared" si="2"/>
        <v>07-MAR</v>
      </c>
      <c r="K28" s="9" t="str">
        <f t="shared" si="1"/>
        <v>CA</v>
      </c>
      <c r="L28" s="9" t="str">
        <f t="shared" si="3"/>
        <v>Dress-Zara</v>
      </c>
      <c r="M28" s="11" t="str">
        <f t="shared" si="4"/>
        <v>$60</v>
      </c>
      <c r="N28" s="17" t="s">
        <v>147</v>
      </c>
    </row>
    <row r="29" spans="1:14" ht="15.75" customHeight="1" x14ac:dyDescent="0.25">
      <c r="A29" s="12" t="s">
        <v>105</v>
      </c>
      <c r="B29" s="12" t="s">
        <v>106</v>
      </c>
      <c r="C29" s="12" t="s">
        <v>107</v>
      </c>
      <c r="D29" s="12">
        <v>40</v>
      </c>
      <c r="E29" s="12">
        <v>10</v>
      </c>
      <c r="F29" s="13" t="s">
        <v>36</v>
      </c>
      <c r="G29" s="9"/>
      <c r="H29" s="9"/>
      <c r="I29" s="9" t="str">
        <f t="shared" si="0"/>
        <v>Toaster</v>
      </c>
      <c r="J29" s="10" t="str">
        <f t="shared" si="2"/>
        <v>13-APR</v>
      </c>
      <c r="K29" s="9" t="str">
        <f t="shared" si="1"/>
        <v>CA</v>
      </c>
      <c r="L29" s="9" t="str">
        <f t="shared" si="3"/>
        <v>Toaster-Hamilton</v>
      </c>
      <c r="M29" s="11" t="str">
        <f t="shared" si="4"/>
        <v>$40</v>
      </c>
      <c r="N29" s="17" t="s">
        <v>148</v>
      </c>
    </row>
    <row r="30" spans="1:14" ht="15.75" customHeight="1" x14ac:dyDescent="0.25">
      <c r="A30" s="7" t="s">
        <v>108</v>
      </c>
      <c r="B30" s="7" t="s">
        <v>93</v>
      </c>
      <c r="C30" s="7" t="s">
        <v>109</v>
      </c>
      <c r="D30" s="7">
        <v>130</v>
      </c>
      <c r="E30" s="7">
        <v>5</v>
      </c>
      <c r="F30" s="13" t="s">
        <v>28</v>
      </c>
      <c r="G30" s="9"/>
      <c r="H30" s="9"/>
      <c r="I30" s="9" t="str">
        <f t="shared" si="0"/>
        <v>Fitness Tracker</v>
      </c>
      <c r="J30" s="10" t="str">
        <f t="shared" si="2"/>
        <v>24-MAY</v>
      </c>
      <c r="K30" s="9" t="str">
        <f t="shared" si="1"/>
        <v>CA</v>
      </c>
      <c r="L30" s="9" t="str">
        <f t="shared" si="3"/>
        <v>Fitness Tracker-Garmin</v>
      </c>
      <c r="M30" s="11" t="str">
        <f t="shared" si="4"/>
        <v>$130</v>
      </c>
      <c r="N30" s="17" t="s">
        <v>149</v>
      </c>
    </row>
    <row r="31" spans="1:14" ht="15.75" customHeight="1" x14ac:dyDescent="0.25">
      <c r="A31" s="12" t="s">
        <v>110</v>
      </c>
      <c r="B31" s="12" t="s">
        <v>111</v>
      </c>
      <c r="C31" s="12" t="s">
        <v>112</v>
      </c>
      <c r="D31" s="12">
        <v>50</v>
      </c>
      <c r="E31" s="12">
        <v>50</v>
      </c>
      <c r="F31" s="13" t="s">
        <v>32</v>
      </c>
      <c r="G31" s="9"/>
      <c r="H31" s="9"/>
      <c r="I31" s="9" t="str">
        <f t="shared" si="0"/>
        <v>Jeans</v>
      </c>
      <c r="J31" s="10" t="str">
        <f t="shared" si="2"/>
        <v>02-DEC</v>
      </c>
      <c r="K31" s="9" t="str">
        <f t="shared" si="1"/>
        <v>CA</v>
      </c>
      <c r="L31" s="9" t="str">
        <f t="shared" si="3"/>
        <v>Jeans-Levi's</v>
      </c>
      <c r="M31" s="11" t="str">
        <f t="shared" si="4"/>
        <v>$50</v>
      </c>
      <c r="N31" s="17" t="s">
        <v>150</v>
      </c>
    </row>
    <row r="32" spans="1:14" ht="15.75" customHeight="1" x14ac:dyDescent="0.25">
      <c r="A32" s="12" t="s">
        <v>113</v>
      </c>
      <c r="B32" s="12" t="s">
        <v>114</v>
      </c>
      <c r="C32" s="12" t="s">
        <v>115</v>
      </c>
      <c r="D32" s="12">
        <v>100</v>
      </c>
      <c r="E32" s="12">
        <v>20</v>
      </c>
      <c r="F32" s="13" t="s">
        <v>75</v>
      </c>
      <c r="G32" s="9"/>
      <c r="H32" s="9"/>
      <c r="I32" s="9" t="str">
        <f t="shared" si="0"/>
        <v>Watch</v>
      </c>
      <c r="J32" s="10" t="str">
        <f t="shared" si="2"/>
        <v>09-JUL</v>
      </c>
      <c r="K32" s="9" t="str">
        <f t="shared" si="1"/>
        <v>FR</v>
      </c>
      <c r="L32" s="9" t="str">
        <f t="shared" si="3"/>
        <v>Watch-Casio</v>
      </c>
      <c r="M32" s="11" t="str">
        <f t="shared" si="4"/>
        <v>$100</v>
      </c>
      <c r="N32" s="17" t="s">
        <v>151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32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{B8EA59D7-8350-498A-8ADE-44FA6AF41D5D}</x14:id>
        </ext>
      </extLst>
    </cfRule>
  </conditionalFormatting>
  <conditionalFormatting sqref="F2:F32">
    <cfRule type="containsText" dxfId="19" priority="10" operator="containsText" text="Electronics">
      <formula>NOT(ISERROR(SEARCH("Electronics",F2)))</formula>
    </cfRule>
    <cfRule type="containsText" dxfId="17" priority="13" operator="containsText" text="Electronics">
      <formula>NOT(ISERROR(SEARCH("Electronics",F2)))</formula>
    </cfRule>
    <cfRule type="uniqueValues" dxfId="16" priority="15"/>
    <cfRule type="expression" dxfId="15" priority="16">
      <formula>"Electronics"</formula>
    </cfRule>
  </conditionalFormatting>
  <conditionalFormatting sqref="F2">
    <cfRule type="containsText" dxfId="14" priority="9" operator="containsText" text="Electronics">
      <formula>NOT(ISERROR(SEARCH("Electronics",F2)))</formula>
    </cfRule>
  </conditionalFormatting>
  <conditionalFormatting sqref="F5">
    <cfRule type="containsText" dxfId="7" priority="8" operator="containsText" text="Electronics">
      <formula>NOT(ISERROR(SEARCH("Electronics",F5)))</formula>
    </cfRule>
  </conditionalFormatting>
  <conditionalFormatting sqref="F7">
    <cfRule type="containsText" dxfId="6" priority="7" operator="containsText" text="Electronics">
      <formula>NOT(ISERROR(SEARCH("Electronics",F7)))</formula>
    </cfRule>
  </conditionalFormatting>
  <conditionalFormatting sqref="F10">
    <cfRule type="containsText" dxfId="5" priority="6" operator="containsText" text="Electronics">
      <formula>NOT(ISERROR(SEARCH("Electronics",F10)))</formula>
    </cfRule>
  </conditionalFormatting>
  <conditionalFormatting sqref="F12">
    <cfRule type="containsText" dxfId="4" priority="5" operator="containsText" text="Electronics">
      <formula>NOT(ISERROR(SEARCH("Electronics",F12)))</formula>
    </cfRule>
  </conditionalFormatting>
  <conditionalFormatting sqref="F19">
    <cfRule type="containsText" dxfId="3" priority="4" operator="containsText" text="Electronics">
      <formula>NOT(ISERROR(SEARCH("Electronics",F19)))</formula>
    </cfRule>
  </conditionalFormatting>
  <conditionalFormatting sqref="F22">
    <cfRule type="containsText" dxfId="2" priority="3" operator="containsText" text="Electronics">
      <formula>NOT(ISERROR(SEARCH("Electronics",F22)))</formula>
    </cfRule>
  </conditionalFormatting>
  <conditionalFormatting sqref="F25">
    <cfRule type="containsText" dxfId="1" priority="2" operator="containsText" text="Electronics">
      <formula>NOT(ISERROR(SEARCH("Electronics",F25)))</formula>
    </cfRule>
  </conditionalFormatting>
  <conditionalFormatting sqref="F30">
    <cfRule type="containsText" dxfId="0" priority="1" operator="containsText" text="Electronics">
      <formula>NOT(ISERROR(SEARCH("Electronics",F30)))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EA59D7-8350-498A-8ADE-44FA6AF41D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  <x14:conditionalFormatting xmlns:xm="http://schemas.microsoft.com/office/excel/2006/main">
          <x14:cfRule type="containsText" priority="12" operator="containsText" id="{CC3BF55E-2D04-4106-9D95-08855F9E4409}">
            <xm:f>NOT(ISERROR(SEARCH($F$7,F2)))</xm:f>
            <xm:f>$F$7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F2:F32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Babu S</cp:lastModifiedBy>
  <dcterms:modified xsi:type="dcterms:W3CDTF">2025-11-20T03:23:58Z</dcterms:modified>
</cp:coreProperties>
</file>